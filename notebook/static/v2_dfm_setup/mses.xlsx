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goonzard/Developer/ds-202501-health-econ-mlflow/notebook/static/v2_dfm_setup/"/>
    </mc:Choice>
  </mc:AlternateContent>
  <xr:revisionPtr revIDLastSave="0" documentId="13_ncr:1_{EB80014C-D4C1-6F49-9A04-37CD55410A20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3" i="1"/>
</calcChain>
</file>

<file path=xl/sharedStrings.xml><?xml version="1.0" encoding="utf-8"?>
<sst xmlns="http://schemas.openxmlformats.org/spreadsheetml/2006/main" count="52" uniqueCount="52">
  <si>
    <t>Baseline</t>
  </si>
  <si>
    <t>Factor Order 2</t>
  </si>
  <si>
    <t>Error Covariance Type Diagonal</t>
  </si>
  <si>
    <t>Error Covariance Type Unstructured</t>
  </si>
  <si>
    <t>Vitamin B-complex, plain</t>
  </si>
  <si>
    <t>alprostadil</t>
  </si>
  <si>
    <t>ambroxol</t>
  </si>
  <si>
    <t>amoxicillin and beta-lactamase inhibitor</t>
  </si>
  <si>
    <t>carbohydrates</t>
  </si>
  <si>
    <t>cefmetazole</t>
  </si>
  <si>
    <t>cefotetan</t>
  </si>
  <si>
    <t>cefotiam</t>
  </si>
  <si>
    <t>ceftriaxone</t>
  </si>
  <si>
    <t>cefuroxime</t>
  </si>
  <si>
    <t>chlorphenamine</t>
  </si>
  <si>
    <t>cimetidine</t>
  </si>
  <si>
    <t>ciprofloxacin</t>
  </si>
  <si>
    <t>dexamethasone</t>
  </si>
  <si>
    <t>diazepam</t>
  </si>
  <si>
    <t>diclofenac</t>
  </si>
  <si>
    <t>dupilumab</t>
  </si>
  <si>
    <t>electrolytes</t>
  </si>
  <si>
    <t>electrolytes with carbohydrates</t>
  </si>
  <si>
    <t>ephedrine</t>
  </si>
  <si>
    <t>etomidate</t>
  </si>
  <si>
    <t>fentanyl</t>
  </si>
  <si>
    <t>flomoxef</t>
  </si>
  <si>
    <t>flumazenil</t>
  </si>
  <si>
    <t>gentamicin</t>
  </si>
  <si>
    <t>glycopyrronium bromide</t>
  </si>
  <si>
    <t>insulin aspart</t>
  </si>
  <si>
    <t>insulin glargine</t>
  </si>
  <si>
    <t>ketorolac</t>
  </si>
  <si>
    <t>labetalol</t>
  </si>
  <si>
    <t>lidocaine</t>
  </si>
  <si>
    <t>lidocaine, combinations</t>
  </si>
  <si>
    <t>methylprednisolone</t>
  </si>
  <si>
    <t>metoclopramide</t>
  </si>
  <si>
    <t>midazolam</t>
  </si>
  <si>
    <t>neostigmine</t>
  </si>
  <si>
    <t>netilmicin</t>
  </si>
  <si>
    <t>nicardipine</t>
  </si>
  <si>
    <t>ondansetron</t>
  </si>
  <si>
    <t>pethidine</t>
  </si>
  <si>
    <t>propofol</t>
  </si>
  <si>
    <t>remifentanil</t>
  </si>
  <si>
    <t>rocuronium bromide</t>
  </si>
  <si>
    <t>sodium chloride</t>
  </si>
  <si>
    <t>suxamethonium</t>
  </si>
  <si>
    <t>tramadol</t>
  </si>
  <si>
    <t>tranexamic acid</t>
  </si>
  <si>
    <t>triamcinolone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</si>
</sst>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I5" sqref="I5"/>
    </sheetView>
  </sheetViews>
  <sheetFormatPr baseColWidth="10" defaultColWidth="8.83203125" defaultRowHeight="15" x14ac:dyDescent="0.2"/>
  <cols>
    <col min="2" max="5" width="24" customWidth="1"/>
  </cols>
  <sheetData>
    <row r="1" spans="1:7" x14ac:dyDescent="0.2">
      <c r="B1">
        <v>13</v>
      </c>
      <c r="C1">
        <v>14</v>
      </c>
      <c r="D1">
        <v>17</v>
      </c>
      <c r="E1">
        <v>7</v>
      </c>
    </row>
    <row r="2" spans="1:7" x14ac:dyDescent="0.2">
      <c r="B2" s="1" t="s">
        <v>0</v>
      </c>
      <c r="C2" s="1" t="s">
        <v>1</v>
      </c>
      <c r="D2" s="1" t="s">
        <v>2</v>
      </c>
      <c r="E2" s="1" t="s">
        <v>3</v>
      </c>
    </row>
    <row r="3" spans="1:7" x14ac:dyDescent="0.2">
      <c r="A3" s="1" t="s">
        <v>4</v>
      </c>
      <c r="B3" s="2">
        <v>26.146568846153841</v>
      </c>
      <c r="C3">
        <v>31.390460769230771</v>
      </c>
      <c r="D3">
        <v>37.570786153846157</v>
      </c>
      <c r="E3">
        <v>37.204297692307691</v>
      </c>
      <c r="G3">
        <f>MIN(B3:E3)</f>
        <v>26.146568846153841</v>
      </c>
    </row>
    <row r="4" spans="1:7" x14ac:dyDescent="0.2">
      <c r="A4" s="1" t="s">
        <v>5</v>
      </c>
      <c r="B4">
        <v>2.819230769230769</v>
      </c>
      <c r="C4" s="2">
        <v>2.5138846153846148</v>
      </c>
      <c r="D4">
        <v>2.7729665384615392</v>
      </c>
      <c r="E4">
        <v>2.8161923076923081</v>
      </c>
      <c r="G4">
        <f t="shared" ref="G4:G50" si="0">MIN(B4:E4)</f>
        <v>2.5138846153846148</v>
      </c>
    </row>
    <row r="5" spans="1:7" x14ac:dyDescent="0.2">
      <c r="A5" s="1" t="s">
        <v>6</v>
      </c>
      <c r="B5" s="2">
        <v>0.72027192307692312</v>
      </c>
      <c r="C5">
        <v>0.78590961538461535</v>
      </c>
      <c r="D5">
        <v>0.78971999999999998</v>
      </c>
      <c r="E5">
        <v>0.81224884615384618</v>
      </c>
      <c r="G5">
        <f t="shared" si="0"/>
        <v>0.72027192307692312</v>
      </c>
    </row>
    <row r="6" spans="1:7" x14ac:dyDescent="0.2">
      <c r="A6" s="1" t="s">
        <v>7</v>
      </c>
      <c r="B6" s="2">
        <v>19.341069230769229</v>
      </c>
      <c r="C6">
        <v>23.197167692307691</v>
      </c>
      <c r="D6">
        <v>24.704902692307691</v>
      </c>
      <c r="E6">
        <v>21.08041884615384</v>
      </c>
      <c r="G6">
        <f t="shared" si="0"/>
        <v>19.341069230769229</v>
      </c>
    </row>
    <row r="7" spans="1:7" x14ac:dyDescent="0.2">
      <c r="A7" s="1" t="s">
        <v>8</v>
      </c>
      <c r="B7">
        <v>5.7099999999999989E-3</v>
      </c>
      <c r="C7">
        <v>4.3523076923076918E-3</v>
      </c>
      <c r="D7" s="2">
        <v>3.847692307692308E-3</v>
      </c>
      <c r="E7">
        <v>4.2096153846153837E-3</v>
      </c>
      <c r="G7">
        <f t="shared" si="0"/>
        <v>3.847692307692308E-3</v>
      </c>
    </row>
    <row r="8" spans="1:7" x14ac:dyDescent="0.2">
      <c r="A8" s="1" t="s">
        <v>9</v>
      </c>
      <c r="B8">
        <v>204.60547730769241</v>
      </c>
      <c r="C8" s="2">
        <v>168.96931615384619</v>
      </c>
      <c r="D8">
        <v>238.80648384615381</v>
      </c>
      <c r="E8">
        <v>255.92033576923069</v>
      </c>
      <c r="G8">
        <f t="shared" si="0"/>
        <v>168.96931615384619</v>
      </c>
    </row>
    <row r="9" spans="1:7" x14ac:dyDescent="0.2">
      <c r="A9" s="1" t="s">
        <v>10</v>
      </c>
      <c r="B9">
        <v>2299.8572315384622</v>
      </c>
      <c r="C9" s="2">
        <v>2017.30006</v>
      </c>
      <c r="D9">
        <v>2789.445168076923</v>
      </c>
      <c r="E9">
        <v>2859.362072307692</v>
      </c>
      <c r="G9">
        <f t="shared" si="0"/>
        <v>2017.30006</v>
      </c>
    </row>
    <row r="10" spans="1:7" x14ac:dyDescent="0.2">
      <c r="A10" s="1" t="s">
        <v>11</v>
      </c>
      <c r="B10">
        <v>19.175402692307689</v>
      </c>
      <c r="C10">
        <v>22.838595000000009</v>
      </c>
      <c r="D10">
        <v>11.018485</v>
      </c>
      <c r="E10" s="2">
        <v>3.295723076923077</v>
      </c>
      <c r="G10">
        <f t="shared" si="0"/>
        <v>3.295723076923077</v>
      </c>
    </row>
    <row r="11" spans="1:7" x14ac:dyDescent="0.2">
      <c r="A11" s="1" t="s">
        <v>12</v>
      </c>
      <c r="B11">
        <v>0.63251000000000013</v>
      </c>
      <c r="C11">
        <v>0.66384192307692313</v>
      </c>
      <c r="D11" s="2">
        <v>0.57290038461538451</v>
      </c>
      <c r="E11">
        <v>0.57939615384615384</v>
      </c>
      <c r="G11">
        <f t="shared" si="0"/>
        <v>0.57290038461538451</v>
      </c>
    </row>
    <row r="12" spans="1:7" x14ac:dyDescent="0.2">
      <c r="A12" s="1" t="s">
        <v>13</v>
      </c>
      <c r="B12">
        <v>379.84117269230768</v>
      </c>
      <c r="C12" s="2">
        <v>311.00275884615388</v>
      </c>
      <c r="D12">
        <v>697.61677923076934</v>
      </c>
      <c r="E12">
        <v>550.17664423076928</v>
      </c>
      <c r="G12">
        <f t="shared" si="0"/>
        <v>311.00275884615388</v>
      </c>
    </row>
    <row r="13" spans="1:7" x14ac:dyDescent="0.2">
      <c r="A13" s="1" t="s">
        <v>14</v>
      </c>
      <c r="B13">
        <v>162.79748346153841</v>
      </c>
      <c r="C13" s="2">
        <v>142.69381538461539</v>
      </c>
      <c r="D13">
        <v>177.85318384615391</v>
      </c>
      <c r="E13">
        <v>155.78581692307691</v>
      </c>
      <c r="G13">
        <f t="shared" si="0"/>
        <v>142.69381538461539</v>
      </c>
    </row>
    <row r="14" spans="1:7" x14ac:dyDescent="0.2">
      <c r="A14" s="1" t="s">
        <v>15</v>
      </c>
      <c r="B14" s="2">
        <v>1.082697307692307</v>
      </c>
      <c r="C14">
        <v>1.1211334615384621</v>
      </c>
      <c r="D14">
        <v>1.128958461538462</v>
      </c>
      <c r="E14">
        <v>1.134003461538462</v>
      </c>
      <c r="G14">
        <f t="shared" si="0"/>
        <v>1.082697307692307</v>
      </c>
    </row>
    <row r="15" spans="1:7" x14ac:dyDescent="0.2">
      <c r="A15" s="1" t="s">
        <v>16</v>
      </c>
      <c r="B15">
        <v>17.471377692307691</v>
      </c>
      <c r="C15">
        <v>17.149885000000001</v>
      </c>
      <c r="D15" s="2">
        <v>15.41805769230769</v>
      </c>
      <c r="E15">
        <v>16.402162692307691</v>
      </c>
      <c r="G15">
        <f t="shared" si="0"/>
        <v>15.41805769230769</v>
      </c>
    </row>
    <row r="16" spans="1:7" x14ac:dyDescent="0.2">
      <c r="A16" s="1" t="s">
        <v>17</v>
      </c>
      <c r="B16">
        <v>7974.0628749999996</v>
      </c>
      <c r="C16" s="2">
        <v>7734.3199323076924</v>
      </c>
      <c r="D16">
        <v>8525.766971923078</v>
      </c>
      <c r="E16">
        <v>10341.441635384621</v>
      </c>
      <c r="G16">
        <f t="shared" si="0"/>
        <v>7734.3199323076924</v>
      </c>
    </row>
    <row r="17" spans="1:7" x14ac:dyDescent="0.2">
      <c r="A17" s="1" t="s">
        <v>18</v>
      </c>
      <c r="B17" s="2">
        <v>9.508173076923077</v>
      </c>
      <c r="C17">
        <v>9.5239488461538464</v>
      </c>
      <c r="D17">
        <v>10.06021307692308</v>
      </c>
      <c r="E17">
        <v>9.9181926923076915</v>
      </c>
      <c r="G17">
        <f t="shared" si="0"/>
        <v>9.508173076923077</v>
      </c>
    </row>
    <row r="18" spans="1:7" x14ac:dyDescent="0.2">
      <c r="A18" s="1" t="s">
        <v>19</v>
      </c>
      <c r="B18" s="2">
        <v>1396.2872480769231</v>
      </c>
      <c r="C18">
        <v>1500.7375938461539</v>
      </c>
      <c r="D18">
        <v>1547.307116153846</v>
      </c>
      <c r="E18">
        <v>1472.8891042307689</v>
      </c>
      <c r="G18">
        <f t="shared" si="0"/>
        <v>1396.2872480769231</v>
      </c>
    </row>
    <row r="19" spans="1:7" x14ac:dyDescent="0.2">
      <c r="A19" s="1" t="s">
        <v>20</v>
      </c>
      <c r="B19" s="2">
        <v>26.98097769230769</v>
      </c>
      <c r="C19">
        <v>30.84487076923077</v>
      </c>
      <c r="D19">
        <v>49.963351538461538</v>
      </c>
      <c r="E19">
        <v>43.043447307692297</v>
      </c>
      <c r="G19">
        <f t="shared" si="0"/>
        <v>26.98097769230769</v>
      </c>
    </row>
    <row r="20" spans="1:7" x14ac:dyDescent="0.2">
      <c r="A20" s="1" t="s">
        <v>21</v>
      </c>
      <c r="B20" s="2">
        <v>53.13810423076923</v>
      </c>
      <c r="C20">
        <v>55.459881923076921</v>
      </c>
      <c r="D20">
        <v>59.241421153846147</v>
      </c>
      <c r="E20">
        <v>59.289998461538467</v>
      </c>
      <c r="G20">
        <f t="shared" si="0"/>
        <v>53.13810423076923</v>
      </c>
    </row>
    <row r="21" spans="1:7" x14ac:dyDescent="0.2">
      <c r="A21" s="1" t="s">
        <v>22</v>
      </c>
      <c r="B21" s="2">
        <v>1033.2006676923079</v>
      </c>
      <c r="C21">
        <v>1041.3756307692311</v>
      </c>
      <c r="D21">
        <v>1076.9453230769229</v>
      </c>
      <c r="E21">
        <v>1054.001470384615</v>
      </c>
      <c r="G21">
        <f t="shared" si="0"/>
        <v>1033.2006676923079</v>
      </c>
    </row>
    <row r="22" spans="1:7" x14ac:dyDescent="0.2">
      <c r="A22" s="1" t="s">
        <v>23</v>
      </c>
      <c r="B22">
        <v>0.5790646153846154</v>
      </c>
      <c r="C22">
        <v>0.65317500000000017</v>
      </c>
      <c r="D22">
        <v>0.5947723076923076</v>
      </c>
      <c r="E22" s="2">
        <v>0.56197115384615393</v>
      </c>
      <c r="G22">
        <f t="shared" si="0"/>
        <v>0.56197115384615393</v>
      </c>
    </row>
    <row r="23" spans="1:7" x14ac:dyDescent="0.2">
      <c r="A23" s="1" t="s">
        <v>24</v>
      </c>
      <c r="B23">
        <v>0.65906538461538466</v>
      </c>
      <c r="C23" s="2">
        <v>0.62156961538461541</v>
      </c>
      <c r="D23">
        <v>0.65481999999999996</v>
      </c>
      <c r="E23">
        <v>0.66002807692307697</v>
      </c>
      <c r="G23">
        <f t="shared" si="0"/>
        <v>0.62156961538461541</v>
      </c>
    </row>
    <row r="24" spans="1:7" x14ac:dyDescent="0.2">
      <c r="A24" s="1" t="s">
        <v>25</v>
      </c>
      <c r="B24">
        <v>5.2899230769230768E-2</v>
      </c>
      <c r="C24">
        <v>0.1154853846153846</v>
      </c>
      <c r="D24" s="2">
        <v>3.3565384615384608E-2</v>
      </c>
      <c r="E24">
        <v>4.6699999999999998E-2</v>
      </c>
      <c r="G24">
        <f t="shared" si="0"/>
        <v>3.3565384615384608E-2</v>
      </c>
    </row>
    <row r="25" spans="1:7" x14ac:dyDescent="0.2">
      <c r="A25" s="1" t="s">
        <v>26</v>
      </c>
      <c r="B25">
        <v>0.13696461538461541</v>
      </c>
      <c r="C25" s="2">
        <v>7.4489230769230752E-2</v>
      </c>
      <c r="D25">
        <v>0.11288153846153839</v>
      </c>
      <c r="E25">
        <v>8.1336923076923084E-2</v>
      </c>
      <c r="G25">
        <f t="shared" si="0"/>
        <v>7.4489230769230752E-2</v>
      </c>
    </row>
    <row r="26" spans="1:7" x14ac:dyDescent="0.2">
      <c r="A26" s="1" t="s">
        <v>27</v>
      </c>
      <c r="B26">
        <v>3.6238846153846163E-2</v>
      </c>
      <c r="C26">
        <v>2.5593846153846151E-2</v>
      </c>
      <c r="D26" s="2">
        <v>1.9369999999999998E-2</v>
      </c>
      <c r="E26">
        <v>1.9396923076923079E-2</v>
      </c>
      <c r="G26">
        <f t="shared" si="0"/>
        <v>1.9369999999999998E-2</v>
      </c>
    </row>
    <row r="27" spans="1:7" x14ac:dyDescent="0.2">
      <c r="A27" s="1" t="s">
        <v>28</v>
      </c>
      <c r="B27">
        <v>2963.028854230769</v>
      </c>
      <c r="C27" s="2">
        <v>2635.9183569230772</v>
      </c>
      <c r="D27">
        <v>3937.6768396153839</v>
      </c>
      <c r="E27">
        <v>3878.655982692308</v>
      </c>
      <c r="G27">
        <f t="shared" si="0"/>
        <v>2635.9183569230772</v>
      </c>
    </row>
    <row r="28" spans="1:7" x14ac:dyDescent="0.2">
      <c r="A28" s="1" t="s">
        <v>29</v>
      </c>
      <c r="B28">
        <v>1.0006442307692309</v>
      </c>
      <c r="C28">
        <v>1.1765826923076921</v>
      </c>
      <c r="D28">
        <v>1.0446880769230771</v>
      </c>
      <c r="E28" s="2">
        <v>1.0686642307692309</v>
      </c>
      <c r="G28">
        <f t="shared" si="0"/>
        <v>1.0006442307692309</v>
      </c>
    </row>
    <row r="29" spans="1:7" x14ac:dyDescent="0.2">
      <c r="A29" s="1" t="s">
        <v>30</v>
      </c>
      <c r="B29">
        <v>3.8461538461538459E-6</v>
      </c>
      <c r="C29">
        <v>3.7538461538461548E-4</v>
      </c>
      <c r="D29" s="2">
        <v>0</v>
      </c>
      <c r="E29" s="2">
        <v>0</v>
      </c>
      <c r="G29">
        <f t="shared" si="0"/>
        <v>0</v>
      </c>
    </row>
    <row r="30" spans="1:7" x14ac:dyDescent="0.2">
      <c r="A30" s="1" t="s">
        <v>31</v>
      </c>
      <c r="B30">
        <v>4.2307692307692311E-6</v>
      </c>
      <c r="C30">
        <v>1.8961538461538459E-4</v>
      </c>
      <c r="D30" s="2">
        <v>0</v>
      </c>
      <c r="E30" s="2">
        <v>0</v>
      </c>
      <c r="G30">
        <f t="shared" si="0"/>
        <v>0</v>
      </c>
    </row>
    <row r="31" spans="1:7" x14ac:dyDescent="0.2">
      <c r="A31" s="1" t="s">
        <v>32</v>
      </c>
      <c r="B31">
        <v>88.83604230769231</v>
      </c>
      <c r="C31" s="2">
        <v>66.252856153846139</v>
      </c>
      <c r="D31">
        <v>86.332778846153843</v>
      </c>
      <c r="E31">
        <v>90.791906153846156</v>
      </c>
      <c r="G31">
        <f t="shared" si="0"/>
        <v>66.252856153846139</v>
      </c>
    </row>
    <row r="32" spans="1:7" x14ac:dyDescent="0.2">
      <c r="A32" s="1" t="s">
        <v>33</v>
      </c>
      <c r="B32">
        <v>1.542461538461538E-2</v>
      </c>
      <c r="C32">
        <v>1.6275384615384619E-2</v>
      </c>
      <c r="D32" s="2">
        <v>1.5415384615384621E-2</v>
      </c>
      <c r="E32">
        <v>4.3009230769230772E-2</v>
      </c>
      <c r="G32">
        <f t="shared" si="0"/>
        <v>1.5415384615384621E-2</v>
      </c>
    </row>
    <row r="33" spans="1:7" x14ac:dyDescent="0.2">
      <c r="A33" s="1" t="s">
        <v>34</v>
      </c>
      <c r="B33" s="2">
        <v>0.99949461538461548</v>
      </c>
      <c r="C33">
        <v>1.2138692307692309</v>
      </c>
      <c r="D33">
        <v>1.0405357692307691</v>
      </c>
      <c r="E33">
        <v>1.0929519230769229</v>
      </c>
      <c r="G33">
        <f t="shared" si="0"/>
        <v>0.99949461538461548</v>
      </c>
    </row>
    <row r="34" spans="1:7" x14ac:dyDescent="0.2">
      <c r="A34" s="1" t="s">
        <v>35</v>
      </c>
      <c r="B34" s="2">
        <v>444.90784653846151</v>
      </c>
      <c r="C34">
        <v>446.79289692307691</v>
      </c>
      <c r="D34">
        <v>559.39629384615375</v>
      </c>
      <c r="E34">
        <v>503.98665653846149</v>
      </c>
      <c r="G34">
        <f t="shared" si="0"/>
        <v>444.90784653846151</v>
      </c>
    </row>
    <row r="35" spans="1:7" x14ac:dyDescent="0.2">
      <c r="A35" s="1" t="s">
        <v>36</v>
      </c>
      <c r="B35">
        <v>0.41923076923076918</v>
      </c>
      <c r="C35">
        <v>0.42907692307692308</v>
      </c>
      <c r="D35">
        <v>0.4284746153846154</v>
      </c>
      <c r="E35" s="2">
        <v>0.41926923076923078</v>
      </c>
      <c r="G35">
        <f t="shared" si="0"/>
        <v>0.41923076923076918</v>
      </c>
    </row>
    <row r="36" spans="1:7" x14ac:dyDescent="0.2">
      <c r="A36" s="1" t="s">
        <v>37</v>
      </c>
      <c r="B36">
        <v>30.123891923076929</v>
      </c>
      <c r="C36">
        <v>36.00866807692308</v>
      </c>
      <c r="D36" s="2">
        <v>25.46173615384615</v>
      </c>
      <c r="E36">
        <v>28.242717692307689</v>
      </c>
      <c r="G36">
        <f t="shared" si="0"/>
        <v>25.46173615384615</v>
      </c>
    </row>
    <row r="37" spans="1:7" x14ac:dyDescent="0.2">
      <c r="A37" s="1" t="s">
        <v>38</v>
      </c>
      <c r="B37">
        <v>2.58941</v>
      </c>
      <c r="C37">
        <v>3.4025792307692311</v>
      </c>
      <c r="D37" s="2">
        <v>2.121049230769231</v>
      </c>
      <c r="E37">
        <v>3.1224657692307689</v>
      </c>
      <c r="G37">
        <f t="shared" si="0"/>
        <v>2.121049230769231</v>
      </c>
    </row>
    <row r="38" spans="1:7" x14ac:dyDescent="0.2">
      <c r="A38" s="1" t="s">
        <v>39</v>
      </c>
      <c r="B38">
        <v>1.7461538461538469E-2</v>
      </c>
      <c r="C38">
        <v>2.7365384615384611E-2</v>
      </c>
      <c r="D38" s="2">
        <v>1.884615384615385E-5</v>
      </c>
      <c r="E38">
        <v>3.4865384615384619E-3</v>
      </c>
      <c r="G38">
        <f t="shared" si="0"/>
        <v>1.884615384615385E-5</v>
      </c>
    </row>
    <row r="39" spans="1:7" x14ac:dyDescent="0.2">
      <c r="A39" s="1" t="s">
        <v>40</v>
      </c>
      <c r="B39">
        <v>6262.8674276923084</v>
      </c>
      <c r="C39" s="2">
        <v>6123.1220223076934</v>
      </c>
      <c r="D39">
        <v>7632.6575503846161</v>
      </c>
      <c r="E39">
        <v>7498.7497857692306</v>
      </c>
      <c r="G39">
        <f t="shared" si="0"/>
        <v>6123.1220223076934</v>
      </c>
    </row>
    <row r="40" spans="1:7" x14ac:dyDescent="0.2">
      <c r="A40" s="1" t="s">
        <v>41</v>
      </c>
      <c r="B40" s="2">
        <v>0</v>
      </c>
      <c r="C40" s="2">
        <v>0</v>
      </c>
      <c r="D40">
        <v>3.0769230769230768E-5</v>
      </c>
      <c r="E40">
        <v>2.6030769230769229E-2</v>
      </c>
      <c r="G40">
        <f t="shared" si="0"/>
        <v>0</v>
      </c>
    </row>
    <row r="41" spans="1:7" x14ac:dyDescent="0.2">
      <c r="A41" s="1" t="s">
        <v>42</v>
      </c>
      <c r="B41">
        <v>0.5683442307692308</v>
      </c>
      <c r="C41">
        <v>0.60857346153846159</v>
      </c>
      <c r="D41" s="2">
        <v>0.39232423076923079</v>
      </c>
      <c r="E41">
        <v>0.39337692307692312</v>
      </c>
      <c r="G41">
        <f t="shared" si="0"/>
        <v>0.39232423076923079</v>
      </c>
    </row>
    <row r="42" spans="1:7" x14ac:dyDescent="0.2">
      <c r="A42" s="1" t="s">
        <v>43</v>
      </c>
      <c r="B42">
        <v>0.1779688461538462</v>
      </c>
      <c r="C42">
        <v>9.4222692307692313E-2</v>
      </c>
      <c r="D42" s="2">
        <v>5.4056923076923079E-2</v>
      </c>
      <c r="E42">
        <v>0.53842192307692305</v>
      </c>
      <c r="G42">
        <f t="shared" si="0"/>
        <v>5.4056923076923079E-2</v>
      </c>
    </row>
    <row r="43" spans="1:7" x14ac:dyDescent="0.2">
      <c r="A43" s="1" t="s">
        <v>44</v>
      </c>
      <c r="B43">
        <v>1.7963723076923079</v>
      </c>
      <c r="C43">
        <v>1.9461023076923081</v>
      </c>
      <c r="D43">
        <v>1.8730334615384621</v>
      </c>
      <c r="E43" s="2">
        <v>1.668933076923077</v>
      </c>
      <c r="G43">
        <f t="shared" si="0"/>
        <v>1.668933076923077</v>
      </c>
    </row>
    <row r="44" spans="1:7" x14ac:dyDescent="0.2">
      <c r="A44" s="1" t="s">
        <v>45</v>
      </c>
      <c r="B44">
        <v>0.4471365384615385</v>
      </c>
      <c r="C44">
        <v>0.35064615384615389</v>
      </c>
      <c r="D44" s="2">
        <v>0.28448576923076918</v>
      </c>
      <c r="E44">
        <v>0.73930230769230776</v>
      </c>
      <c r="G44">
        <f t="shared" si="0"/>
        <v>0.28448576923076918</v>
      </c>
    </row>
    <row r="45" spans="1:7" x14ac:dyDescent="0.2">
      <c r="A45" s="1" t="s">
        <v>46</v>
      </c>
      <c r="B45">
        <v>1.7461538461538469E-2</v>
      </c>
      <c r="C45">
        <v>2.7365384615384611E-2</v>
      </c>
      <c r="D45" s="2">
        <v>1.884615384615385E-5</v>
      </c>
      <c r="E45">
        <v>3.4865384615384619E-3</v>
      </c>
      <c r="G45">
        <f t="shared" si="0"/>
        <v>1.884615384615385E-5</v>
      </c>
    </row>
    <row r="46" spans="1:7" x14ac:dyDescent="0.2">
      <c r="A46" s="1" t="s">
        <v>47</v>
      </c>
      <c r="B46" s="2">
        <v>30.04581692307692</v>
      </c>
      <c r="C46">
        <v>31.660554999999999</v>
      </c>
      <c r="D46">
        <v>31.829487307692311</v>
      </c>
      <c r="E46">
        <v>31.565579230769231</v>
      </c>
      <c r="G46">
        <f t="shared" si="0"/>
        <v>30.04581692307692</v>
      </c>
    </row>
    <row r="47" spans="1:7" x14ac:dyDescent="0.2">
      <c r="A47" s="1" t="s">
        <v>48</v>
      </c>
      <c r="B47">
        <v>1.373884615384615E-2</v>
      </c>
      <c r="C47">
        <v>2.2011923076923082E-2</v>
      </c>
      <c r="D47" s="2">
        <v>1.384615384615385E-5</v>
      </c>
      <c r="E47">
        <v>2.5615384615384619E-3</v>
      </c>
      <c r="G47">
        <f t="shared" si="0"/>
        <v>1.384615384615385E-5</v>
      </c>
    </row>
    <row r="48" spans="1:7" x14ac:dyDescent="0.2">
      <c r="A48" s="1" t="s">
        <v>49</v>
      </c>
      <c r="B48">
        <v>1890.9386319230771</v>
      </c>
      <c r="C48" s="2">
        <v>1858.2346761538461</v>
      </c>
      <c r="D48">
        <v>2051.917947307692</v>
      </c>
      <c r="E48">
        <v>2384.3829446153841</v>
      </c>
      <c r="G48">
        <f t="shared" si="0"/>
        <v>1858.2346761538461</v>
      </c>
    </row>
    <row r="49" spans="1:7" x14ac:dyDescent="0.2">
      <c r="A49" s="1" t="s">
        <v>50</v>
      </c>
      <c r="B49">
        <v>8.5384376923076939</v>
      </c>
      <c r="C49" s="2">
        <v>7.3621411538461539</v>
      </c>
      <c r="D49">
        <v>7.3900099999999993</v>
      </c>
      <c r="E49">
        <v>7.424335384615385</v>
      </c>
      <c r="G49">
        <f t="shared" si="0"/>
        <v>7.3621411538461539</v>
      </c>
    </row>
    <row r="50" spans="1:7" x14ac:dyDescent="0.2">
      <c r="A50" s="1" t="s">
        <v>51</v>
      </c>
      <c r="B50">
        <v>8.9391084615384617</v>
      </c>
      <c r="C50">
        <v>8.7176430769230766</v>
      </c>
      <c r="D50" s="2">
        <v>8.0118903846153842</v>
      </c>
      <c r="E50">
        <v>8.0911176923076926</v>
      </c>
      <c r="G50">
        <f t="shared" si="0"/>
        <v>8.0118903846153842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Sang Il Bae</cp:lastModifiedBy>
  <dcterms:created xsi:type="dcterms:W3CDTF">2025-12-15T18:12:24Z</dcterms:created>
  <dcterms:modified xsi:type="dcterms:W3CDTF">2025-12-15T18:16:52Z</dcterms:modified>
</cp:coreProperties>
</file>